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wer Budget" sheetId="1" state="visible" r:id="rId3"/>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8" authorId="0">
      <text>
        <r>
          <rPr>
            <sz val="10"/>
            <rFont val="Arial"/>
            <family val="2"/>
          </rPr>
          <t xml:space="preserve">For inductive loads (e.g., motors, solenoids) this is often called "stall current" on the data sheet</t>
        </r>
      </text>
    </comment>
  </commentList>
</comments>
</file>

<file path=xl/sharedStrings.xml><?xml version="1.0" encoding="utf-8"?>
<sst xmlns="http://schemas.openxmlformats.org/spreadsheetml/2006/main" count="80" uniqueCount="50">
  <si>
    <t xml:space="preserve">Subsystem A3 Power Budget</t>
  </si>
  <si>
    <t xml:space="preserve">Team Number:</t>
  </si>
  <si>
    <t xml:space="preserve">Project Name:</t>
  </si>
  <si>
    <t xml:space="preserve">The Duck</t>
  </si>
  <si>
    <t xml:space="preserve">Team Member Names:</t>
  </si>
  <si>
    <t xml:space="preserve">Neel Garde</t>
  </si>
  <si>
    <t xml:space="preserve">Version:</t>
  </si>
  <si>
    <t xml:space="preserve">A. List ALL major components (active devices, integrated circuits, etc.) except for power sources, voltage regulators, resistors, capacitors, or passive elements</t>
  </si>
  <si>
    <t xml:space="preserve">All Major Components</t>
  </si>
  <si>
    <t xml:space="preserve">Component Name</t>
  </si>
  <si>
    <t xml:space="preserve">Part Number</t>
  </si>
  <si>
    <t xml:space="preserve">Supply
Voltage
Range</t>
  </si>
  <si>
    <t xml:space="preserve">#</t>
  </si>
  <si>
    <t xml:space="preserve">Absolute
Maximum
Current (mA)</t>
  </si>
  <si>
    <t xml:space="preserve">Total
Current
(mA)</t>
  </si>
  <si>
    <t xml:space="preserve">Unit</t>
  </si>
  <si>
    <t xml:space="preserve">ESP32 microcontroller</t>
  </si>
  <si>
    <t xml:space="preserve">ESP32-S3-WROOM-1-N4</t>
  </si>
  <si>
    <t xml:space="preserve">3.1-3.3V</t>
  </si>
  <si>
    <t xml:space="preserve">mA</t>
  </si>
  <si>
    <t xml:space="preserve"> +3.3V Power Rail</t>
  </si>
  <si>
    <t xml:space="preserve">Subtotal </t>
  </si>
  <si>
    <t xml:space="preserve">Safety Margin</t>
  </si>
  <si>
    <t xml:space="preserve">Total Current Required on +3.3V Rail</t>
  </si>
  <si>
    <t xml:space="preserve">c4. Regulator or Source Choice</t>
  </si>
  <si>
    <t xml:space="preserve"> +3.3V switching regulator</t>
  </si>
  <si>
    <t xml:space="preserve">AP63203WU-7</t>
  </si>
  <si>
    <t xml:space="preserve"> +3.8V – 32V</t>
  </si>
  <si>
    <t xml:space="preserve">Total Remaining Current Available on 3.3V Rail</t>
  </si>
  <si>
    <t xml:space="preserve">C. For each power rail above, select a specific voltage regulator using the same process as for major component selection. Confirm that the Total Remaining Current Available on each rail above is not negative.</t>
  </si>
  <si>
    <t xml:space="preserve">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</si>
  <si>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 xml:space="preserve">External Power Source 1</t>
  </si>
  <si>
    <t xml:space="preserve">Output Voltage</t>
  </si>
  <si>
    <t xml:space="preserve">Power Source 1 Selection</t>
  </si>
  <si>
    <t xml:space="preserve">Plug-in Wall Supply</t>
  </si>
  <si>
    <t xml:space="preserve">(student provided)</t>
  </si>
  <si>
    <t xml:space="preserve">110-240VAC</t>
  </si>
  <si>
    <t xml:space="preserve">+12V</t>
  </si>
  <si>
    <t xml:space="preserve">Power Rails Connected to External Power Source 1</t>
  </si>
  <si>
    <t xml:space="preserve"> +3V regulator</t>
  </si>
  <si>
    <t xml:space="preserve">Total Remaining Current Available on External Power Source 1</t>
  </si>
  <si>
    <t xml:space="preserve">E. Calculate Battery Life (if applicable).  For each battery, also check the worst-case lifetime of the battery by indicating the capacity in mAh.</t>
  </si>
  <si>
    <t xml:space="preserve">Capacity
(mAh)</t>
  </si>
  <si>
    <t xml:space="preserve">Required
By
Regulators</t>
  </si>
  <si>
    <t xml:space="preserve">Tenergy 12V NiMH battery</t>
  </si>
  <si>
    <t xml:space="preserve">NA</t>
  </si>
  <si>
    <t xml:space="preserve">Battery Life</t>
  </si>
  <si>
    <t xml:space="preserve">hours</t>
  </si>
  <si>
    <t xml:space="preserve">Notes</t>
  </si>
  <si>
    <t xml:space="preserve">As good data could not be found about the bluetooth radio’s power draw, an overly high current draw was shown for the ESP32. It will not reach this much.</t>
  </si>
</sst>
</file>

<file path=xl/styles.xml><?xml version="1.0" encoding="utf-8"?>
<styleSheet xmlns="http://schemas.openxmlformats.org/spreadsheetml/2006/main">
  <numFmts count="3">
    <numFmt numFmtId="164" formatCode="General"/>
    <numFmt numFmtId="165" formatCode="0%"/>
    <numFmt numFmtId="166" formatCode="@"/>
  </numFmts>
  <fonts count="11">
    <font>
      <sz val="12"/>
      <color rgb="FF000000"/>
      <name val="Calibri"/>
      <family val="0"/>
    </font>
    <font>
      <sz val="10"/>
      <name val="Arial"/>
      <family val="0"/>
    </font>
    <font>
      <sz val="10"/>
      <name val="Arial"/>
      <family val="0"/>
    </font>
    <font>
      <sz val="10"/>
      <name val="Arial"/>
      <family val="0"/>
    </font>
    <font>
      <b val="true"/>
      <sz val="24"/>
      <color rgb="FF000000"/>
      <name val="Arial"/>
      <family val="2"/>
    </font>
    <font>
      <b val="true"/>
      <sz val="12"/>
      <color rgb="FF000000"/>
      <name val="Arial"/>
      <family val="2"/>
    </font>
    <font>
      <b val="true"/>
      <sz val="13"/>
      <name val="Arial"/>
      <family val="2"/>
    </font>
    <font>
      <sz val="12"/>
      <color rgb="FF000000"/>
      <name val="Arial"/>
      <family val="2"/>
    </font>
    <font>
      <b val="true"/>
      <i val="true"/>
      <sz val="12"/>
      <color rgb="FF000000"/>
      <name val="Arial"/>
      <family val="2"/>
    </font>
    <font>
      <sz val="11"/>
      <color rgb="FF000000"/>
      <name val="Arial"/>
      <family val="0"/>
    </font>
    <font>
      <sz val="10"/>
      <name val="Arial"/>
      <family val="2"/>
    </font>
  </fonts>
  <fills count="5">
    <fill>
      <patternFill patternType="none"/>
    </fill>
    <fill>
      <patternFill patternType="gray125"/>
    </fill>
    <fill>
      <patternFill patternType="solid">
        <fgColor rgb="FFFFFF00"/>
        <bgColor rgb="FFFFFF00"/>
      </patternFill>
    </fill>
    <fill>
      <patternFill patternType="solid">
        <fgColor rgb="FFEEECE1"/>
        <bgColor rgb="FFFFFFFF"/>
      </patternFill>
    </fill>
    <fill>
      <patternFill patternType="solid">
        <fgColor rgb="FFFFFFFF"/>
        <bgColor rgb="FFEEECE1"/>
      </patternFill>
    </fill>
  </fills>
  <borders count="9">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right style="thin"/>
      <top/>
      <bottom style="thin"/>
      <diagonal/>
    </border>
    <border diagonalUp="false" diagonalDown="false">
      <left style="thin"/>
      <right/>
      <top/>
      <bottom/>
      <diagonal/>
    </border>
    <border diagonalUp="false" diagonalDown="false">
      <left style="thin"/>
      <right style="thin"/>
      <top/>
      <bottom/>
      <diagonal/>
    </border>
    <border diagonalUp="false" diagonalDown="false">
      <left/>
      <right style="thin"/>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left" vertical="bottom" textRotation="0" wrapText="false" indent="0" shrinkToFit="false"/>
      <protection locked="true" hidden="false"/>
    </xf>
    <xf numFmtId="164" fontId="8" fillId="2" borderId="1" xfId="0" applyFont="true" applyBorder="true" applyAlignment="true" applyProtection="true">
      <alignment horizontal="general" vertical="bottom" textRotation="0" wrapText="true" indent="0" shrinkToFit="false"/>
      <protection locked="true" hidden="false"/>
    </xf>
    <xf numFmtId="164" fontId="5" fillId="3" borderId="2" xfId="0" applyFont="true" applyBorder="true" applyAlignment="true" applyProtection="true">
      <alignment horizontal="center" vertical="bottom" textRotation="0" wrapText="false" indent="0" shrinkToFit="false"/>
      <protection locked="true" hidden="false"/>
    </xf>
    <xf numFmtId="164" fontId="5" fillId="3" borderId="3" xfId="0" applyFont="true" applyBorder="true" applyAlignment="true" applyProtection="true">
      <alignment horizontal="center" vertical="bottom" textRotation="0" wrapText="false" indent="0" shrinkToFit="false"/>
      <protection locked="true" hidden="false"/>
    </xf>
    <xf numFmtId="164" fontId="5" fillId="3" borderId="3" xfId="0" applyFont="true" applyBorder="true" applyAlignment="true" applyProtection="true">
      <alignment horizontal="center" vertical="bottom" textRotation="0" wrapText="true" indent="0" shrinkToFit="false"/>
      <protection locked="true" hidden="false"/>
    </xf>
    <xf numFmtId="164" fontId="5" fillId="3" borderId="4" xfId="0" applyFont="true" applyBorder="true" applyAlignment="true" applyProtection="true">
      <alignment horizontal="center" vertical="bottom" textRotation="0" wrapText="true" indent="0" shrinkToFit="false"/>
      <protection locked="true" hidden="false"/>
    </xf>
    <xf numFmtId="164" fontId="7" fillId="0" borderId="5"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7" fillId="0" borderId="6" xfId="0" applyFont="true" applyBorder="true" applyAlignment="true" applyProtection="true">
      <alignment horizontal="general" vertical="bottom" textRotation="0" wrapText="false" indent="0" shrinkToFit="false"/>
      <protection locked="true" hidden="false"/>
    </xf>
    <xf numFmtId="164" fontId="8" fillId="3" borderId="2" xfId="0" applyFont="true" applyBorder="true" applyAlignment="true" applyProtection="true">
      <alignment horizontal="general" vertical="bottom" textRotation="0" wrapText="false" indent="0" shrinkToFit="false"/>
      <protection locked="true" hidden="false"/>
    </xf>
    <xf numFmtId="164" fontId="5" fillId="3" borderId="1" xfId="0" applyFont="true" applyBorder="true" applyAlignment="true" applyProtection="true">
      <alignment horizontal="center" vertical="bottom" textRotation="0" wrapText="true" indent="0" shrinkToFit="false"/>
      <protection locked="true" hidden="false"/>
    </xf>
    <xf numFmtId="164" fontId="8" fillId="0" borderId="0" xfId="0" applyFont="true" applyBorder="true" applyAlignment="true" applyProtection="true">
      <alignment horizontal="right" vertical="bottom" textRotation="0" wrapText="false" indent="0" shrinkToFit="false"/>
      <protection locked="true" hidden="false"/>
    </xf>
    <xf numFmtId="165" fontId="7" fillId="0" borderId="6" xfId="0" applyFont="true" applyBorder="true" applyAlignment="true" applyProtection="true">
      <alignment horizontal="general" vertical="bottom" textRotation="0" wrapText="false" indent="0" shrinkToFit="false"/>
      <protection locked="true" hidden="false"/>
    </xf>
    <xf numFmtId="164" fontId="8" fillId="0" borderId="5" xfId="0" applyFont="true" applyBorder="true" applyAlignment="true" applyProtection="true">
      <alignment horizontal="left" vertical="bottom" textRotation="0" wrapText="false" indent="0" shrinkToFit="false"/>
      <protection locked="true" hidden="false"/>
    </xf>
    <xf numFmtId="164" fontId="5" fillId="0" borderId="6" xfId="0" applyFont="true" applyBorder="true" applyAlignment="true" applyProtection="true">
      <alignment horizontal="general" vertical="bottom" textRotation="0" wrapText="false" indent="0" shrinkToFit="false"/>
      <protection locked="true" hidden="false"/>
    </xf>
    <xf numFmtId="166" fontId="8" fillId="0" borderId="0" xfId="0" applyFont="true" applyBorder="true" applyAlignment="true" applyProtection="true">
      <alignment horizontal="right" vertical="bottom" textRotation="0" wrapText="false" indent="0" shrinkToFit="false"/>
      <protection locked="true" hidden="false"/>
    </xf>
    <xf numFmtId="164" fontId="7" fillId="0" borderId="6" xfId="0" applyFont="true" applyBorder="true" applyAlignment="true" applyProtection="true">
      <alignment horizontal="right" vertical="bottom" textRotation="0" wrapText="false" indent="0" shrinkToFit="false"/>
      <protection locked="true" hidden="false"/>
    </xf>
    <xf numFmtId="164" fontId="8" fillId="0" borderId="5" xfId="0" applyFont="true" applyBorder="tru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8" fillId="0" borderId="5" xfId="0" applyFont="true" applyBorder="true" applyAlignment="true" applyProtection="true">
      <alignment horizontal="general" vertical="bottom" textRotation="0" wrapText="false" indent="0" shrinkToFit="false"/>
      <protection locked="true" hidden="false"/>
    </xf>
    <xf numFmtId="164" fontId="8" fillId="0" borderId="6" xfId="0" applyFont="true" applyBorder="true" applyAlignment="true" applyProtection="true">
      <alignment horizontal="general" vertical="bottom" textRotation="0" wrapText="false" indent="0" shrinkToFit="false"/>
      <protection locked="true" hidden="false"/>
    </xf>
    <xf numFmtId="164" fontId="8" fillId="0" borderId="4" xfId="0" applyFont="true" applyBorder="true" applyAlignment="true" applyProtection="true">
      <alignment horizontal="general" vertical="bottom" textRotation="0" wrapText="true" indent="0" shrinkToFit="false"/>
      <protection locked="true" hidden="false"/>
    </xf>
    <xf numFmtId="164" fontId="5" fillId="0" borderId="5" xfId="0" applyFont="true" applyBorder="tru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right" vertical="bottom" textRotation="0" wrapText="false" indent="0" shrinkToFit="false"/>
      <protection locked="true" hidden="false"/>
    </xf>
    <xf numFmtId="164" fontId="7" fillId="0" borderId="7" xfId="0" applyFont="true" applyBorder="true" applyAlignment="true" applyProtection="true">
      <alignment horizontal="left" vertical="bottom" textRotation="0" wrapText="false" indent="0" shrinkToFit="false"/>
      <protection locked="true" hidden="false"/>
    </xf>
    <xf numFmtId="164" fontId="5" fillId="0" borderId="5" xfId="0" applyFont="true" applyBorder="true" applyAlignment="true" applyProtection="true">
      <alignment horizontal="center" vertical="bottom" textRotation="0" wrapText="false" indent="0" shrinkToFit="false"/>
      <protection locked="true" hidden="false"/>
    </xf>
    <xf numFmtId="164" fontId="7" fillId="0" borderId="7" xfId="0" applyFont="true" applyBorder="true" applyAlignment="true" applyProtection="true">
      <alignment horizontal="general" vertical="bottom" textRotation="0" wrapText="false" indent="0" shrinkToFit="false"/>
      <protection locked="true" hidden="false"/>
    </xf>
    <xf numFmtId="164" fontId="5" fillId="0" borderId="5" xfId="0" applyFont="true" applyBorder="true" applyAlignment="true" applyProtection="true">
      <alignment horizontal="left" vertical="center" textRotation="0" wrapText="true" indent="0" shrinkToFit="false"/>
      <protection locked="true" hidden="false"/>
    </xf>
    <xf numFmtId="164" fontId="5" fillId="0" borderId="6" xfId="0" applyFont="true" applyBorder="true" applyAlignment="true" applyProtection="true">
      <alignment horizontal="center" vertical="bottom" textRotation="0" wrapText="false" indent="0" shrinkToFit="false"/>
      <protection locked="true" hidden="false"/>
    </xf>
    <xf numFmtId="164" fontId="5" fillId="0" borderId="7" xfId="0" applyFont="true" applyBorder="true" applyAlignment="true" applyProtection="true">
      <alignment horizontal="center" vertical="bottom" textRotation="0" wrapText="false" indent="0" shrinkToFit="false"/>
      <protection locked="true" hidden="false"/>
    </xf>
    <xf numFmtId="164" fontId="8" fillId="2" borderId="2" xfId="0" applyFont="true" applyBorder="true" applyAlignment="true" applyProtection="true">
      <alignment horizontal="general" vertical="bottom" textRotation="0" wrapText="true" indent="0" shrinkToFit="false"/>
      <protection locked="true" hidden="false"/>
    </xf>
    <xf numFmtId="164" fontId="8" fillId="2" borderId="1" xfId="0" applyFont="true" applyBorder="true" applyAlignment="true" applyProtection="true">
      <alignment horizontal="general" vertical="bottom" textRotation="0" wrapText="false" indent="0" shrinkToFit="false"/>
      <protection locked="true" hidden="false"/>
    </xf>
    <xf numFmtId="164" fontId="5" fillId="3" borderId="5" xfId="0" applyFont="true" applyBorder="true" applyAlignment="true" applyProtection="true">
      <alignment horizontal="general" vertical="bottom" textRotation="0" wrapText="false" indent="0" shrinkToFit="false"/>
      <protection locked="true" hidden="false"/>
    </xf>
    <xf numFmtId="164" fontId="5" fillId="3" borderId="0" xfId="0" applyFont="true" applyBorder="true" applyAlignment="true" applyProtection="true">
      <alignment horizontal="general" vertical="bottom" textRotation="0" wrapText="false" indent="0" shrinkToFit="false"/>
      <protection locked="true" hidden="false"/>
    </xf>
    <xf numFmtId="164" fontId="5" fillId="3" borderId="8" xfId="0" applyFont="true" applyBorder="true" applyAlignment="true" applyProtection="true">
      <alignment horizontal="center" vertical="bottom" textRotation="0" wrapText="true" indent="0" shrinkToFit="false"/>
      <protection locked="true" hidden="false"/>
    </xf>
    <xf numFmtId="164" fontId="5" fillId="3" borderId="6" xfId="0" applyFont="true" applyBorder="true" applyAlignment="true" applyProtection="true">
      <alignment horizontal="center" vertical="bottom" textRotation="0" wrapText="true" indent="0" shrinkToFit="false"/>
      <protection locked="true" hidden="false"/>
    </xf>
    <xf numFmtId="164" fontId="5" fillId="3" borderId="6"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right" vertical="bottom" textRotation="0" wrapText="false" indent="0" shrinkToFit="false"/>
      <protection locked="true" hidden="false"/>
    </xf>
    <xf numFmtId="164" fontId="8" fillId="2" borderId="0" xfId="0" applyFont="true" applyBorder="tru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true" indent="0" shrinkToFit="false"/>
      <protection locked="true" hidden="false"/>
    </xf>
    <xf numFmtId="164" fontId="9" fillId="4" borderId="0" xfId="0" applyFont="true" applyBorder="true" applyAlignment="true" applyProtection="tru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Calibri"/>
        <family val="0"/>
        <color rgb="FF000000"/>
        <sz val="12"/>
      </font>
      <fill>
        <patternFill>
          <bgColor rgb="FFF4CC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ECE1"/>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85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21" activeCellId="0" sqref="A21"/>
    </sheetView>
  </sheetViews>
  <sheetFormatPr defaultColWidth="13.44140625" defaultRowHeight="15.75" customHeight="true" zeroHeight="false" outlineLevelRow="0" outlineLevelCol="0"/>
  <cols>
    <col collapsed="false" customWidth="true" hidden="false" outlineLevel="0" max="1" min="1" style="1" width="27.15"/>
    <col collapsed="false" customWidth="true" hidden="false" outlineLevel="0" max="2" min="2" style="1" width="23.11"/>
    <col collapsed="false" customWidth="true" hidden="false" outlineLevel="0" max="3" min="3" style="1" width="21.47"/>
    <col collapsed="false" customWidth="true" hidden="false" outlineLevel="0" max="4" min="4" style="1" width="18.82"/>
    <col collapsed="false" customWidth="true" hidden="false" outlineLevel="0" max="5" min="5" style="1" width="6.89"/>
    <col collapsed="false" customWidth="true" hidden="false" outlineLevel="0" max="6" min="6" style="1" width="27.76"/>
    <col collapsed="false" customWidth="true" hidden="false" outlineLevel="0" max="7" min="7" style="1" width="20.31"/>
    <col collapsed="false" customWidth="true" hidden="false" outlineLevel="0" max="8" min="8" style="1" width="9"/>
  </cols>
  <sheetData>
    <row r="1" customFormat="false" ht="30" hidden="false" customHeight="true" outlineLevel="0" collapsed="false">
      <c r="A1" s="2" t="s">
        <v>0</v>
      </c>
      <c r="B1" s="2"/>
      <c r="C1" s="2"/>
      <c r="D1" s="2"/>
      <c r="E1" s="2"/>
      <c r="F1" s="2"/>
      <c r="G1" s="2"/>
      <c r="H1" s="2"/>
    </row>
    <row r="2" customFormat="false" ht="15" hidden="false" customHeight="true" outlineLevel="0" collapsed="false">
      <c r="A2" s="3" t="s">
        <v>1</v>
      </c>
      <c r="B2" s="4" t="n">
        <v>201</v>
      </c>
      <c r="C2" s="5"/>
      <c r="D2" s="6"/>
      <c r="E2" s="6"/>
      <c r="F2" s="5"/>
      <c r="G2" s="5"/>
      <c r="H2" s="5"/>
    </row>
    <row r="3" customFormat="false" ht="15" hidden="false" customHeight="true" outlineLevel="0" collapsed="false">
      <c r="A3" s="3" t="s">
        <v>2</v>
      </c>
      <c r="B3" s="3" t="s">
        <v>3</v>
      </c>
      <c r="C3" s="7"/>
      <c r="D3" s="6"/>
      <c r="E3" s="6"/>
      <c r="F3" s="7"/>
      <c r="G3" s="7"/>
      <c r="H3" s="7"/>
    </row>
    <row r="4" customFormat="false" ht="15" hidden="false" customHeight="true" outlineLevel="0" collapsed="false">
      <c r="A4" s="3" t="s">
        <v>4</v>
      </c>
      <c r="B4" s="3" t="s">
        <v>5</v>
      </c>
      <c r="C4" s="7"/>
      <c r="D4" s="6"/>
      <c r="E4" s="6"/>
      <c r="F4" s="7"/>
      <c r="G4" s="7"/>
      <c r="H4" s="7"/>
    </row>
    <row r="5" customFormat="false" ht="15" hidden="false" customHeight="true" outlineLevel="0" collapsed="false">
      <c r="A5" s="3" t="s">
        <v>6</v>
      </c>
      <c r="B5" s="8" t="n">
        <v>2</v>
      </c>
      <c r="C5" s="7"/>
      <c r="D5" s="6"/>
      <c r="E5" s="6"/>
      <c r="F5" s="7"/>
      <c r="G5" s="7"/>
      <c r="H5" s="7"/>
    </row>
    <row r="6" customFormat="false" ht="15" hidden="false" customHeight="true" outlineLevel="0" collapsed="false">
      <c r="A6" s="7"/>
      <c r="B6" s="7"/>
      <c r="C6" s="7"/>
      <c r="D6" s="6"/>
      <c r="E6" s="6"/>
      <c r="F6" s="7"/>
      <c r="G6" s="7"/>
      <c r="H6" s="7"/>
    </row>
    <row r="7" customFormat="false" ht="15" hidden="false" customHeight="true" outlineLevel="0" collapsed="false">
      <c r="A7" s="9" t="s">
        <v>7</v>
      </c>
      <c r="B7" s="9"/>
      <c r="C7" s="9"/>
      <c r="D7" s="9"/>
      <c r="E7" s="9"/>
      <c r="F7" s="9"/>
      <c r="G7" s="9"/>
      <c r="H7" s="9"/>
    </row>
    <row r="8" customFormat="false" ht="15" hidden="false" customHeight="true" outlineLevel="0" collapsed="false">
      <c r="A8" s="10" t="s">
        <v>8</v>
      </c>
      <c r="B8" s="11" t="s">
        <v>9</v>
      </c>
      <c r="C8" s="11" t="s">
        <v>10</v>
      </c>
      <c r="D8" s="12" t="s">
        <v>11</v>
      </c>
      <c r="E8" s="12" t="s">
        <v>12</v>
      </c>
      <c r="F8" s="12" t="s">
        <v>13</v>
      </c>
      <c r="G8" s="13" t="s">
        <v>14</v>
      </c>
      <c r="H8" s="13" t="s">
        <v>15</v>
      </c>
    </row>
    <row r="9" customFormat="false" ht="15" hidden="false" customHeight="true" outlineLevel="0" collapsed="false">
      <c r="A9" s="14"/>
      <c r="B9" s="5" t="s">
        <v>16</v>
      </c>
      <c r="C9" s="5" t="s">
        <v>17</v>
      </c>
      <c r="D9" s="15" t="s">
        <v>18</v>
      </c>
      <c r="E9" s="15" t="n">
        <v>1</v>
      </c>
      <c r="F9" s="5" t="n">
        <v>700</v>
      </c>
      <c r="G9" s="16" t="n">
        <v>700</v>
      </c>
      <c r="H9" s="16" t="s">
        <v>19</v>
      </c>
    </row>
    <row r="10" customFormat="false" ht="15" hidden="false" customHeight="true" outlineLevel="0" collapsed="false">
      <c r="A10" s="17" t="s">
        <v>20</v>
      </c>
      <c r="B10" s="11" t="s">
        <v>9</v>
      </c>
      <c r="C10" s="11" t="s">
        <v>10</v>
      </c>
      <c r="D10" s="12" t="s">
        <v>11</v>
      </c>
      <c r="E10" s="12" t="s">
        <v>12</v>
      </c>
      <c r="F10" s="12" t="s">
        <v>13</v>
      </c>
      <c r="G10" s="18" t="s">
        <v>14</v>
      </c>
      <c r="H10" s="18" t="s">
        <v>15</v>
      </c>
    </row>
    <row r="11" customFormat="false" ht="15" hidden="false" customHeight="true" outlineLevel="0" collapsed="false">
      <c r="A11" s="14"/>
      <c r="B11" s="5" t="s">
        <v>16</v>
      </c>
      <c r="C11" s="5" t="s">
        <v>17</v>
      </c>
      <c r="D11" s="15" t="s">
        <v>18</v>
      </c>
      <c r="E11" s="15" t="n">
        <v>1</v>
      </c>
      <c r="F11" s="5" t="n">
        <v>700</v>
      </c>
      <c r="G11" s="16" t="n">
        <v>700</v>
      </c>
      <c r="H11" s="16" t="s">
        <v>19</v>
      </c>
    </row>
    <row r="12" customFormat="false" ht="15" hidden="false" customHeight="true" outlineLevel="0" collapsed="false">
      <c r="A12" s="14"/>
      <c r="B12" s="19" t="s">
        <v>21</v>
      </c>
      <c r="C12" s="19"/>
      <c r="D12" s="19"/>
      <c r="E12" s="19"/>
      <c r="F12" s="19"/>
      <c r="G12" s="16" t="n">
        <f aca="false">SUM(G10:G11)</f>
        <v>700</v>
      </c>
      <c r="H12" s="16" t="s">
        <v>19</v>
      </c>
    </row>
    <row r="13" customFormat="false" ht="15" hidden="false" customHeight="true" outlineLevel="0" collapsed="false">
      <c r="A13" s="14"/>
      <c r="B13" s="19" t="s">
        <v>22</v>
      </c>
      <c r="C13" s="19"/>
      <c r="D13" s="19"/>
      <c r="E13" s="19"/>
      <c r="F13" s="19"/>
      <c r="G13" s="20" t="n">
        <v>0.25</v>
      </c>
      <c r="H13" s="20"/>
    </row>
    <row r="14" customFormat="false" ht="15" hidden="false" customHeight="true" outlineLevel="0" collapsed="false">
      <c r="A14" s="14"/>
      <c r="B14" s="19" t="s">
        <v>23</v>
      </c>
      <c r="C14" s="19"/>
      <c r="D14" s="19"/>
      <c r="E14" s="19"/>
      <c r="F14" s="19"/>
      <c r="G14" s="16" t="n">
        <f aca="false">G12*(1+G13)</f>
        <v>875</v>
      </c>
      <c r="H14" s="16" t="s">
        <v>19</v>
      </c>
    </row>
    <row r="15" customFormat="false" ht="15" hidden="false" customHeight="true" outlineLevel="0" collapsed="false">
      <c r="A15" s="21"/>
      <c r="B15" s="5"/>
      <c r="C15" s="5"/>
      <c r="D15" s="15"/>
      <c r="E15" s="15"/>
      <c r="F15" s="5"/>
      <c r="G15" s="16"/>
      <c r="H15" s="22"/>
    </row>
    <row r="16" customFormat="false" ht="15" hidden="false" customHeight="true" outlineLevel="0" collapsed="false">
      <c r="A16" s="21" t="s">
        <v>24</v>
      </c>
      <c r="B16" s="5" t="s">
        <v>25</v>
      </c>
      <c r="C16" s="5" t="s">
        <v>26</v>
      </c>
      <c r="D16" s="15" t="s">
        <v>27</v>
      </c>
      <c r="E16" s="15" t="n">
        <v>1</v>
      </c>
      <c r="F16" s="5" t="n">
        <v>2000</v>
      </c>
      <c r="G16" s="16" t="n">
        <f aca="false">E16*F16</f>
        <v>2000</v>
      </c>
      <c r="H16" s="16" t="s">
        <v>19</v>
      </c>
    </row>
    <row r="17" customFormat="false" ht="15" hidden="false" customHeight="true" outlineLevel="0" collapsed="false">
      <c r="A17" s="14"/>
      <c r="B17" s="23" t="s">
        <v>28</v>
      </c>
      <c r="C17" s="23"/>
      <c r="D17" s="23"/>
      <c r="E17" s="23"/>
      <c r="F17" s="23"/>
      <c r="G17" s="24" t="n">
        <f aca="false">G16-G14</f>
        <v>1125</v>
      </c>
      <c r="H17" s="16" t="s">
        <v>19</v>
      </c>
    </row>
    <row r="18" customFormat="false" ht="15" hidden="false" customHeight="true" outlineLevel="0" collapsed="false">
      <c r="A18" s="25"/>
      <c r="B18" s="26"/>
      <c r="C18" s="26"/>
      <c r="D18" s="26"/>
      <c r="E18" s="26"/>
      <c r="F18" s="26"/>
      <c r="G18" s="27"/>
      <c r="H18" s="28"/>
    </row>
    <row r="19" customFormat="false" ht="15" hidden="false" customHeight="true" outlineLevel="0" collapsed="false">
      <c r="A19" s="9" t="s">
        <v>29</v>
      </c>
      <c r="B19" s="9"/>
      <c r="C19" s="9"/>
      <c r="D19" s="9"/>
      <c r="E19" s="9"/>
      <c r="F19" s="9"/>
      <c r="G19" s="9"/>
      <c r="H19" s="9"/>
    </row>
    <row r="20" customFormat="false" ht="15" hidden="false" customHeight="true" outlineLevel="0" collapsed="false">
      <c r="A20" s="29"/>
      <c r="B20" s="29"/>
      <c r="C20" s="29"/>
      <c r="D20" s="29"/>
      <c r="E20" s="29"/>
      <c r="F20" s="29"/>
      <c r="G20" s="29"/>
      <c r="H20" s="29"/>
    </row>
    <row r="21" customFormat="false" ht="15" hidden="false" customHeight="true" outlineLevel="0" collapsed="false">
      <c r="A21" s="9" t="s">
        <v>30</v>
      </c>
      <c r="B21" s="9"/>
      <c r="C21" s="9"/>
      <c r="D21" s="9"/>
      <c r="E21" s="9"/>
      <c r="F21" s="9"/>
      <c r="G21" s="9"/>
      <c r="H21" s="9"/>
    </row>
    <row r="22" customFormat="false" ht="15" hidden="false" customHeight="true" outlineLevel="0" collapsed="false">
      <c r="A22" s="17" t="s">
        <v>31</v>
      </c>
      <c r="B22" s="11" t="s">
        <v>9</v>
      </c>
      <c r="C22" s="11" t="s">
        <v>10</v>
      </c>
      <c r="D22" s="12" t="s">
        <v>11</v>
      </c>
      <c r="E22" s="12" t="s">
        <v>32</v>
      </c>
      <c r="F22" s="12" t="s">
        <v>13</v>
      </c>
      <c r="G22" s="18" t="s">
        <v>14</v>
      </c>
      <c r="H22" s="18" t="s">
        <v>15</v>
      </c>
    </row>
    <row r="23" customFormat="false" ht="15" hidden="false" customHeight="true" outlineLevel="0" collapsed="false">
      <c r="A23" s="30" t="s">
        <v>33</v>
      </c>
      <c r="B23" s="31" t="s">
        <v>34</v>
      </c>
      <c r="C23" s="15" t="s">
        <v>35</v>
      </c>
      <c r="D23" s="15" t="s">
        <v>36</v>
      </c>
      <c r="E23" s="15" t="s">
        <v>37</v>
      </c>
      <c r="F23" s="32" t="n">
        <v>3000</v>
      </c>
      <c r="G23" s="24" t="n">
        <v>3000</v>
      </c>
      <c r="H23" s="33" t="s">
        <v>19</v>
      </c>
    </row>
    <row r="24" customFormat="false" ht="15" hidden="false" customHeight="true" outlineLevel="0" collapsed="false">
      <c r="A24" s="34"/>
      <c r="B24" s="31"/>
      <c r="C24" s="31"/>
      <c r="D24" s="15"/>
      <c r="E24" s="15"/>
      <c r="F24" s="32"/>
      <c r="G24" s="24"/>
      <c r="H24" s="35"/>
    </row>
    <row r="25" customFormat="false" ht="15" hidden="false" customHeight="true" outlineLevel="0" collapsed="false">
      <c r="A25" s="36" t="s">
        <v>38</v>
      </c>
      <c r="B25" s="31" t="s">
        <v>39</v>
      </c>
      <c r="C25" s="31" t="s">
        <v>26</v>
      </c>
      <c r="D25" s="15" t="s">
        <v>27</v>
      </c>
      <c r="E25" s="15" t="n">
        <v>1</v>
      </c>
      <c r="F25" s="32" t="n">
        <v>875</v>
      </c>
      <c r="G25" s="24" t="n">
        <f aca="false">E25*F25</f>
        <v>875</v>
      </c>
      <c r="H25" s="16" t="s">
        <v>19</v>
      </c>
    </row>
    <row r="26" customFormat="false" ht="15" hidden="false" customHeight="true" outlineLevel="0" collapsed="false">
      <c r="A26" s="36"/>
      <c r="B26" s="5"/>
      <c r="C26" s="5"/>
      <c r="D26" s="15"/>
      <c r="E26" s="15"/>
      <c r="F26" s="5"/>
      <c r="G26" s="16"/>
      <c r="H26" s="16"/>
    </row>
    <row r="27" customFormat="false" ht="15" hidden="false" customHeight="true" outlineLevel="0" collapsed="false">
      <c r="A27" s="34"/>
      <c r="B27" s="23" t="s">
        <v>40</v>
      </c>
      <c r="C27" s="23"/>
      <c r="D27" s="23"/>
      <c r="E27" s="23"/>
      <c r="F27" s="23"/>
      <c r="G27" s="24" t="n">
        <f aca="false">G23-SUM(G25:G26)</f>
        <v>2125</v>
      </c>
      <c r="H27" s="33" t="s">
        <v>19</v>
      </c>
    </row>
    <row r="28" customFormat="false" ht="15" hidden="false" customHeight="true" outlineLevel="0" collapsed="false">
      <c r="A28" s="34"/>
      <c r="B28" s="6"/>
      <c r="C28" s="6"/>
      <c r="D28" s="6"/>
      <c r="E28" s="6"/>
      <c r="F28" s="6"/>
      <c r="G28" s="37"/>
      <c r="H28" s="38"/>
    </row>
    <row r="29" customFormat="false" ht="15" hidden="false" customHeight="true" outlineLevel="0" collapsed="false">
      <c r="A29" s="39" t="s">
        <v>41</v>
      </c>
      <c r="B29" s="39"/>
      <c r="C29" s="39"/>
      <c r="D29" s="39"/>
      <c r="E29" s="39"/>
      <c r="F29" s="39"/>
      <c r="G29" s="40"/>
      <c r="H29" s="40"/>
    </row>
    <row r="30" customFormat="false" ht="15" hidden="false" customHeight="true" outlineLevel="0" collapsed="false">
      <c r="A30" s="41"/>
      <c r="B30" s="42" t="s">
        <v>9</v>
      </c>
      <c r="C30" s="42" t="s">
        <v>10</v>
      </c>
      <c r="D30" s="43" t="s">
        <v>11</v>
      </c>
      <c r="E30" s="43"/>
      <c r="F30" s="43" t="s">
        <v>42</v>
      </c>
      <c r="G30" s="44" t="s">
        <v>43</v>
      </c>
      <c r="H30" s="45"/>
    </row>
    <row r="31" customFormat="false" ht="15" hidden="false" customHeight="true" outlineLevel="0" collapsed="false">
      <c r="A31" s="14"/>
      <c r="B31" s="5" t="s">
        <v>44</v>
      </c>
      <c r="C31" s="46" t="s">
        <v>45</v>
      </c>
      <c r="D31" s="15" t="s">
        <v>37</v>
      </c>
      <c r="E31" s="15"/>
      <c r="F31" s="5" t="n">
        <v>2000</v>
      </c>
      <c r="G31" s="16" t="n">
        <v>875</v>
      </c>
      <c r="H31" s="16"/>
    </row>
    <row r="32" customFormat="false" ht="15" hidden="false" customHeight="true" outlineLevel="0" collapsed="false">
      <c r="A32" s="14"/>
      <c r="B32" s="5"/>
      <c r="C32" s="5"/>
      <c r="D32" s="15"/>
      <c r="E32" s="15"/>
      <c r="F32" s="47" t="s">
        <v>46</v>
      </c>
      <c r="G32" s="16" t="n">
        <f aca="false">F31/G31</f>
        <v>2.28571428571429</v>
      </c>
      <c r="H32" s="16" t="s">
        <v>47</v>
      </c>
    </row>
    <row r="33" customFormat="false" ht="15" hidden="false" customHeight="true" outlineLevel="0" collapsed="false">
      <c r="A33" s="48" t="s">
        <v>48</v>
      </c>
      <c r="B33" s="48"/>
      <c r="C33" s="48"/>
      <c r="D33" s="48"/>
      <c r="E33" s="48"/>
      <c r="F33" s="48"/>
      <c r="G33" s="49"/>
      <c r="H33" s="49"/>
    </row>
    <row r="34" customFormat="false" ht="15" hidden="false" customHeight="true" outlineLevel="0" collapsed="false">
      <c r="A34" s="50" t="s">
        <v>49</v>
      </c>
      <c r="B34" s="50"/>
      <c r="C34" s="50"/>
      <c r="D34" s="50"/>
      <c r="E34" s="50"/>
      <c r="F34" s="50"/>
      <c r="G34" s="50"/>
      <c r="H34" s="50"/>
    </row>
    <row r="35" customFormat="false" ht="15" hidden="false" customHeight="true" outlineLevel="0" collapsed="false">
      <c r="A35" s="51"/>
      <c r="B35" s="51"/>
      <c r="C35" s="51"/>
      <c r="D35" s="51"/>
      <c r="E35" s="51"/>
      <c r="F35" s="51"/>
      <c r="G35" s="51"/>
      <c r="H35" s="51"/>
    </row>
    <row r="1048523" customFormat="false" ht="12.8" hidden="false" customHeight="true" outlineLevel="0" collapsed="false"/>
    <row r="1048524" customFormat="false" ht="12.8" hidden="false" customHeight="true" outlineLevel="0" collapsed="false"/>
    <row r="1048525" customFormat="false" ht="12.8" hidden="false" customHeight="true" outlineLevel="0" collapsed="false"/>
    <row r="1048526" customFormat="false" ht="12.8" hidden="false" customHeight="true" outlineLevel="0" collapsed="false"/>
    <row r="1048527" customFormat="false" ht="12.8" hidden="false" customHeight="true" outlineLevel="0" collapsed="false"/>
    <row r="1048528" customFormat="false" ht="12.8" hidden="false" customHeight="true" outlineLevel="0" collapsed="false"/>
    <row r="1048529" customFormat="false" ht="12.8" hidden="false" customHeight="true" outlineLevel="0" collapsed="false"/>
    <row r="1048530" customFormat="false" ht="12.8" hidden="false" customHeight="true" outlineLevel="0" collapsed="false"/>
    <row r="1048531" customFormat="false" ht="12.8" hidden="false" customHeight="true" outlineLevel="0" collapsed="false"/>
    <row r="1048532" customFormat="false" ht="12.8" hidden="false" customHeight="true" outlineLevel="0" collapsed="false"/>
    <row r="1048533" customFormat="false" ht="12.8" hidden="false" customHeight="true" outlineLevel="0" collapsed="false"/>
    <row r="1048534" customFormat="false" ht="12.8" hidden="false" customHeight="true" outlineLevel="0" collapsed="false"/>
    <row r="1048535" customFormat="false" ht="12.8" hidden="false" customHeight="true" outlineLevel="0" collapsed="false"/>
    <row r="1048536" customFormat="false" ht="12.8" hidden="false" customHeight="true" outlineLevel="0" collapsed="false"/>
    <row r="1048537" customFormat="false" ht="12.8" hidden="false" customHeight="true" outlineLevel="0" collapsed="false"/>
    <row r="1048538" customFormat="false" ht="12.8" hidden="false" customHeight="true" outlineLevel="0" collapsed="false"/>
    <row r="1048539" customFormat="false" ht="12.8" hidden="false" customHeight="true" outlineLevel="0" collapsed="false"/>
    <row r="1048540" customFormat="false" ht="12.8" hidden="false" customHeight="true" outlineLevel="0" collapsed="false"/>
    <row r="1048541" customFormat="false" ht="12.8" hidden="false" customHeight="true" outlineLevel="0" collapsed="false"/>
    <row r="1048542" customFormat="false" ht="12.8" hidden="false" customHeight="true" outlineLevel="0" collapsed="false"/>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15">
    <mergeCell ref="A1:H1"/>
    <mergeCell ref="A7:H7"/>
    <mergeCell ref="B12:F12"/>
    <mergeCell ref="B13:F13"/>
    <mergeCell ref="B14:F14"/>
    <mergeCell ref="B17:F17"/>
    <mergeCell ref="A19:H19"/>
    <mergeCell ref="A20:H20"/>
    <mergeCell ref="A21:H21"/>
    <mergeCell ref="A25:A26"/>
    <mergeCell ref="B27:F27"/>
    <mergeCell ref="A29:F29"/>
    <mergeCell ref="A33:F33"/>
    <mergeCell ref="A34:H34"/>
    <mergeCell ref="A35:H35"/>
  </mergeCells>
  <conditionalFormatting sqref="G17">
    <cfRule type="cellIs" priority="2" operator="lessThan" aboveAverage="0" equalAverage="0" bottom="0" percent="0" rank="0" text="" dxfId="0">
      <formula>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49</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2026-05-02T19:51:32Z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